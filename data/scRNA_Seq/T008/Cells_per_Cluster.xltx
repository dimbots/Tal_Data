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a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<sst xmlns="http://schemas.openxmlformats.org/spreadsheetml/2006/main" count="18" uniqueCount="18">
  <si>
    <t xml:space="preserve">orig.ident</t>
  </si>
  <si>
    <t xml:space="preserve">Lgr5Cre</t>
  </si>
  <si>
    <t xml:space="preserve">Setdb1KO</t>
  </si>
  <si>
    <t xml:space="preserve">Stem I</t>
  </si>
  <si>
    <t xml:space="preserve">Goblet I</t>
  </si>
  <si>
    <t xml:space="preserve">Stem II</t>
  </si>
  <si>
    <t xml:space="preserve">TA</t>
  </si>
  <si>
    <t xml:space="preserve">Paneth I</t>
  </si>
  <si>
    <t xml:space="preserve">Goblet II</t>
  </si>
  <si>
    <t xml:space="preserve">Enterocyte Progenitor</t>
  </si>
  <si>
    <t xml:space="preserve">Mature I</t>
  </si>
  <si>
    <t xml:space="preserve">Paneth II</t>
  </si>
  <si>
    <t xml:space="preserve">Goblet III</t>
  </si>
  <si>
    <t xml:space="preserve">S phase</t>
  </si>
  <si>
    <t xml:space="preserve">Mature II</t>
  </si>
  <si>
    <t xml:space="preserve">Tuft</t>
  </si>
  <si>
    <t xml:space="preserve">Enteroendocrine</t>
  </si>
  <si>
    <t xml:space="preserve">Mature III</t>
  </si>
</sst>
</file>

<file path=xl/styles.xml><?xml version="1.0" encoding="utf-8"?>
<styleSheet xmlns="http://schemas.openxmlformats.org/spreadsheetml/2006/main">
  <numFmts count="1">
    <numFmt numFmtId="164" formatCode="General"/>
  </numFmts>
  <fonts count="4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3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Q6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F10" activeCellId="0" sqref="F10"/>
    </sheetView>
  </sheetViews>
  <sheetFormatPr defaultColWidth="11.53515625" defaultRowHeight="12.8" zeroHeight="false" outlineLevelRow="0" outlineLevelCol="0"/>
  <cols>
    <col collapsed="false" customWidth="true" hidden="false" outlineLevel="0" max="7" min="1" style="0" width="17.51"/>
    <col collapsed="false" customWidth="true" hidden="false" outlineLevel="0" max="8" min="8" style="0" width="22.09"/>
    <col collapsed="false" customWidth="true" hidden="false" outlineLevel="0" max="17" min="9" style="0" width="17.51"/>
  </cols>
  <sheetData>
    <row r="1" customFormat="false" ht="12.8" hidden="false" customHeight="false" outlineLevel="0" collapsed="false">
      <c r="A1" s="0" t="s">
        <v>0</v>
      </c>
      <c r="B1" s="0" t="n">
        <v>0</v>
      </c>
      <c r="C1" s="0" t="n">
        <v>1</v>
      </c>
      <c r="D1" s="0" t="n">
        <v>2</v>
      </c>
      <c r="E1" s="0" t="n">
        <v>3</v>
      </c>
      <c r="F1" s="0" t="n">
        <v>4</v>
      </c>
      <c r="G1" s="0" t="n">
        <v>5</v>
      </c>
      <c r="H1" s="0" t="n">
        <v>6</v>
      </c>
      <c r="I1" s="0" t="n">
        <v>7</v>
      </c>
      <c r="J1" s="0" t="n">
        <v>8</v>
      </c>
      <c r="K1" s="0" t="n">
        <v>9</v>
      </c>
      <c r="L1" s="0" t="n">
        <v>10</v>
      </c>
      <c r="M1" s="0" t="n">
        <v>11</v>
      </c>
      <c r="N1" s="0" t="n">
        <v>12</v>
      </c>
      <c r="O1" s="0" t="n">
        <v>13</v>
      </c>
      <c r="P1" s="0" t="n">
        <v>14</v>
      </c>
    </row>
    <row r="2" customFormat="false" ht="12.8" hidden="false" customHeight="false" outlineLevel="0" collapsed="false">
      <c r="A2" s="0" t="s">
        <v>1</v>
      </c>
      <c r="B2" s="0" t="n">
        <v>112</v>
      </c>
      <c r="C2" s="0" t="n">
        <v>404</v>
      </c>
      <c r="D2" s="0" t="n">
        <v>1417</v>
      </c>
      <c r="E2" s="0" t="n">
        <v>204</v>
      </c>
      <c r="F2" s="0" t="n">
        <v>1859</v>
      </c>
      <c r="G2" s="0" t="n">
        <v>798</v>
      </c>
      <c r="H2" s="0" t="n">
        <v>1220</v>
      </c>
      <c r="I2" s="0" t="n">
        <v>1495</v>
      </c>
      <c r="J2" s="0" t="n">
        <v>898</v>
      </c>
      <c r="K2" s="0" t="n">
        <v>605</v>
      </c>
      <c r="L2" s="0" t="n">
        <v>195</v>
      </c>
      <c r="M2" s="0" t="n">
        <v>486</v>
      </c>
      <c r="N2" s="0" t="n">
        <v>133</v>
      </c>
      <c r="O2" s="0" t="n">
        <v>100</v>
      </c>
      <c r="P2" s="0" t="n">
        <v>147</v>
      </c>
      <c r="Q2" s="0" t="n">
        <f aca="false">SUM(B2:P2)</f>
        <v>10073</v>
      </c>
    </row>
    <row r="3" customFormat="false" ht="12.8" hidden="false" customHeight="false" outlineLevel="0" collapsed="false">
      <c r="A3" s="0" t="s">
        <v>2</v>
      </c>
      <c r="B3" s="0" t="n">
        <v>4016</v>
      </c>
      <c r="C3" s="0" t="n">
        <v>2104</v>
      </c>
      <c r="D3" s="0" t="n">
        <v>647</v>
      </c>
      <c r="E3" s="0" t="n">
        <v>1725</v>
      </c>
      <c r="F3" s="0" t="n">
        <v>39</v>
      </c>
      <c r="G3" s="0" t="n">
        <v>1083</v>
      </c>
      <c r="H3" s="0" t="n">
        <v>369</v>
      </c>
      <c r="I3" s="0" t="n">
        <v>45</v>
      </c>
      <c r="J3" s="0" t="n">
        <v>435</v>
      </c>
      <c r="K3" s="0" t="n">
        <v>463</v>
      </c>
      <c r="L3" s="0" t="n">
        <v>723</v>
      </c>
      <c r="M3" s="0" t="n">
        <v>338</v>
      </c>
      <c r="N3" s="0" t="n">
        <v>393</v>
      </c>
      <c r="O3" s="0" t="n">
        <v>176</v>
      </c>
      <c r="P3" s="0" t="n">
        <v>20</v>
      </c>
      <c r="Q3" s="0" t="n">
        <f aca="false">SUM(B3:P3)</f>
        <v>12576</v>
      </c>
    </row>
    <row r="4" customFormat="false" ht="12.8" hidden="false" customHeight="false" outlineLevel="0" collapsed="false">
      <c r="B4" s="1" t="s">
        <v>3</v>
      </c>
      <c r="C4" s="0" t="s">
        <v>4</v>
      </c>
      <c r="D4" s="1" t="s">
        <v>5</v>
      </c>
      <c r="E4" s="1" t="s">
        <v>6</v>
      </c>
      <c r="F4" s="1" t="s">
        <v>7</v>
      </c>
      <c r="G4" s="0" t="s">
        <v>8</v>
      </c>
      <c r="H4" s="1" t="s">
        <v>9</v>
      </c>
      <c r="I4" s="1" t="s">
        <v>10</v>
      </c>
      <c r="J4" s="1" t="s">
        <v>11</v>
      </c>
      <c r="K4" s="0" t="s">
        <v>12</v>
      </c>
      <c r="L4" s="1" t="s">
        <v>13</v>
      </c>
      <c r="M4" s="1" t="s">
        <v>14</v>
      </c>
      <c r="N4" s="0" t="s">
        <v>15</v>
      </c>
      <c r="O4" s="0" t="s">
        <v>16</v>
      </c>
      <c r="P4" s="1" t="s">
        <v>17</v>
      </c>
    </row>
    <row r="5" customFormat="false" ht="12.8" hidden="false" customHeight="false" outlineLevel="0" collapsed="false">
      <c r="B5" s="0" t="n">
        <f aca="false">(B2/$Q2)*100</f>
        <v>1.11188325225851</v>
      </c>
      <c r="C5" s="0" t="n">
        <f aca="false">(C2/$Q2)*100</f>
        <v>4.01072173136106</v>
      </c>
      <c r="D5" s="0" t="n">
        <f aca="false">(D2/$Q2)*100</f>
        <v>14.0673086468778</v>
      </c>
      <c r="E5" s="0" t="n">
        <f aca="false">(E2/$Q2)*100</f>
        <v>2.02521592375658</v>
      </c>
      <c r="F5" s="0" t="n">
        <f aca="false">(F2/$Q2)*100</f>
        <v>18.4552764816837</v>
      </c>
      <c r="G5" s="0" t="n">
        <f aca="false">(G2/$Q2)*100</f>
        <v>7.9221681723419</v>
      </c>
      <c r="H5" s="0" t="n">
        <f aca="false">(H2/$Q2)*100</f>
        <v>12.1115854263874</v>
      </c>
      <c r="I5" s="0" t="n">
        <f aca="false">(I2/$Q2)*100</f>
        <v>14.8416559118435</v>
      </c>
      <c r="J5" s="0" t="n">
        <f aca="false">(J2/$Q2)*100</f>
        <v>8.91492107614415</v>
      </c>
      <c r="K5" s="0" t="n">
        <f aca="false">(K2/$Q2)*100</f>
        <v>6.00615506800357</v>
      </c>
      <c r="L5" s="0" t="n">
        <f aca="false">(L2/$Q2)*100</f>
        <v>1.93586816241438</v>
      </c>
      <c r="M5" s="0" t="n">
        <f aca="false">(M2/$Q2)*100</f>
        <v>4.8247791124789</v>
      </c>
      <c r="N5" s="0" t="n">
        <f aca="false">(N2/$Q2)*100</f>
        <v>1.32036136205698</v>
      </c>
      <c r="O5" s="0" t="n">
        <f aca="false">(O2/$Q2)*100</f>
        <v>0.992752903802244</v>
      </c>
      <c r="P5" s="0" t="n">
        <f aca="false">(P2/$Q2)*100</f>
        <v>1.4593467685893</v>
      </c>
    </row>
    <row r="6" customFormat="false" ht="12.8" hidden="false" customHeight="false" outlineLevel="0" collapsed="false">
      <c r="B6" s="0" t="n">
        <f aca="false">(B3/$Q3)*100</f>
        <v>31.9338422391858</v>
      </c>
      <c r="C6" s="0" t="n">
        <f aca="false">(C3/$Q3)*100</f>
        <v>16.7302798982188</v>
      </c>
      <c r="D6" s="0" t="n">
        <f aca="false">(D3/$Q3)*100</f>
        <v>5.14472010178117</v>
      </c>
      <c r="E6" s="0" t="n">
        <f aca="false">(E3/$Q3)*100</f>
        <v>13.7166030534351</v>
      </c>
      <c r="F6" s="0" t="n">
        <f aca="false">(F3/$Q3)*100</f>
        <v>0.310114503816794</v>
      </c>
      <c r="G6" s="0" t="n">
        <f aca="false">(G3/$Q3)*100</f>
        <v>8.61164122137405</v>
      </c>
      <c r="H6" s="0" t="n">
        <f aca="false">(H3/$Q3)*100</f>
        <v>2.93416030534351</v>
      </c>
      <c r="I6" s="0" t="n">
        <f aca="false">(I3/$Q3)*100</f>
        <v>0.357824427480916</v>
      </c>
      <c r="J6" s="0" t="n">
        <f aca="false">(J3/$Q3)*100</f>
        <v>3.45896946564885</v>
      </c>
      <c r="K6" s="0" t="n">
        <f aca="false">(K3/$Q3)*100</f>
        <v>3.68161577608142</v>
      </c>
      <c r="L6" s="0" t="n">
        <f aca="false">(L3/$Q3)*100</f>
        <v>5.74904580152672</v>
      </c>
      <c r="M6" s="0" t="n">
        <f aca="false">(M3/$Q3)*100</f>
        <v>2.68765903307888</v>
      </c>
      <c r="N6" s="0" t="n">
        <f aca="false">(N3/$Q3)*100</f>
        <v>3.125</v>
      </c>
      <c r="O6" s="0" t="n">
        <f aca="false">(O3/$Q3)*100</f>
        <v>1.39949109414758</v>
      </c>
      <c r="P6" s="0" t="n">
        <f aca="false">(P3/$Q3)*100</f>
        <v>0.159033078880407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14</TotalTime>
  <Application>LibreOffice/6.4.7.2$Linux_X86_64 LibreOffice_project/40$Build-2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:description/>
  <dc:language>en-US</dc:language>
  <cp:lastModifiedBy/>
  <dcterms:modified xsi:type="dcterms:W3CDTF">2022-06-01T15:09:33Z</dcterms:modified>
  <cp:revision>2</cp:revision>
  <dc:subject/>
  <dc:title/>
</cp:coreProperties>
</file>